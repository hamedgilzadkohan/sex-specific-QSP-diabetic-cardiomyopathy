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Research\Research\Estrogen and sex-specific cardiac effects in type 2 diabetes\MATLAB codes\"/>
    </mc:Choice>
  </mc:AlternateContent>
  <xr:revisionPtr revIDLastSave="0" documentId="13_ncr:1_{2B02A265-07B3-44A0-8619-989B39D42C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er1_Parameters" sheetId="1" r:id="rId1"/>
    <sheet name="MATLAB_Import_Guide" sheetId="2" r:id="rId2"/>
    <sheet name="Confidence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</calcChain>
</file>

<file path=xl/sharedStrings.xml><?xml version="1.0" encoding="utf-8"?>
<sst xmlns="http://schemas.openxmlformats.org/spreadsheetml/2006/main" count="666" uniqueCount="410">
  <si>
    <t>QSP Model — Layer 1 (Mitochondrial/Molecular) Parameter Table</t>
  </si>
  <si>
    <t>Parameter ID</t>
  </si>
  <si>
    <t>Parameter Name</t>
  </si>
  <si>
    <t>Symbol</t>
  </si>
  <si>
    <t>Value</t>
  </si>
  <si>
    <t>Units</t>
  </si>
  <si>
    <t>SEM/SD</t>
  </si>
  <si>
    <t>Sex</t>
  </si>
  <si>
    <t>Disease State</t>
  </si>
  <si>
    <t>Species/Model</t>
  </si>
  <si>
    <t>Method</t>
  </si>
  <si>
    <t>PMID</t>
  </si>
  <si>
    <t>Confidence</t>
  </si>
  <si>
    <t>MATLAB Variable</t>
  </si>
  <si>
    <t>Notes / Direct Quote</t>
  </si>
  <si>
    <t>PGC-1α (Peroxisome Proliferator-Activated Receptor Gamma Coactivator 1-alpha)</t>
  </si>
  <si>
    <t>P001</t>
  </si>
  <si>
    <t>PGC-1α protein — diabetic db/db vs control</t>
  </si>
  <si>
    <t>PGC1a_T2DM</t>
  </si>
  <si>
    <t>fold change (ctrl=1.0)</t>
  </si>
  <si>
    <t>±0.08</t>
  </si>
  <si>
    <t>Male</t>
  </si>
  <si>
    <t>T2DM (db/db)</t>
  </si>
  <si>
    <t>Mouse</t>
  </si>
  <si>
    <t>Western blot</t>
  </si>
  <si>
    <t>38222788</t>
  </si>
  <si>
    <t>HIGH</t>
  </si>
  <si>
    <t>pgc1a_t2dm_male</t>
  </si>
  <si>
    <t>db/db diabetic mice; empagliflozin restores to 0.93</t>
  </si>
  <si>
    <t>P002</t>
  </si>
  <si>
    <t>PGC-1α protein — OVX female vs sham</t>
  </si>
  <si>
    <t>PGC1a_OVX</t>
  </si>
  <si>
    <t>NR</t>
  </si>
  <si>
    <t>Female (OVX)</t>
  </si>
  <si>
    <t>Estrogen deficiency</t>
  </si>
  <si>
    <t>24984145</t>
  </si>
  <si>
    <t>pgc1a_ovx_female</t>
  </si>
  <si>
    <t>MiRNA-23a mediates suppression via estrogen loss</t>
  </si>
  <si>
    <t>P003</t>
  </si>
  <si>
    <t>PGC-1α protein — HFD diabetic mice</t>
  </si>
  <si>
    <t>PGC1a_HFD</t>
  </si>
  <si>
    <t>~±0.10</t>
  </si>
  <si>
    <t>T2DM (HFD)</t>
  </si>
  <si>
    <t>28887535</t>
  </si>
  <si>
    <t>pgc1a_hfd_male</t>
  </si>
  <si>
    <t>~40% reduction; Erk5 pathway involved</t>
  </si>
  <si>
    <t>P004</t>
  </si>
  <si>
    <t>PGC-1α protein — SuHx PH female rat</t>
  </si>
  <si>
    <t>PGC1a_SuHx_F</t>
  </si>
  <si>
    <t>±0.10</t>
  </si>
  <si>
    <t>Female</t>
  </si>
  <si>
    <t>Pulmonary hypertension</t>
  </si>
  <si>
    <t>Rat</t>
  </si>
  <si>
    <t>28320896</t>
  </si>
  <si>
    <t>pgc1a_suhx_female</t>
  </si>
  <si>
    <t>E2 treatment restores to 0.85</t>
  </si>
  <si>
    <t>P005</t>
  </si>
  <si>
    <t>PGC-1α protein — older female DCM human</t>
  </si>
  <si>
    <t>PGC1a_DCM_F_old</t>
  </si>
  <si>
    <t>relative units</t>
  </si>
  <si>
    <t>±0.20</t>
  </si>
  <si>
    <t>Female (older)</t>
  </si>
  <si>
    <t>Dilated cardiomyopathy</t>
  </si>
  <si>
    <t>Human</t>
  </si>
  <si>
    <t>37365150</t>
  </si>
  <si>
    <t>pgc1a_dcm_female_old</t>
  </si>
  <si>
    <t>Compensatory elevation in older females with DCM</t>
  </si>
  <si>
    <t>P006</t>
  </si>
  <si>
    <t>PGC-1α protein — older male DCM human</t>
  </si>
  <si>
    <t>PGC1a_DCM_M_old</t>
  </si>
  <si>
    <t>Male (older)</t>
  </si>
  <si>
    <t>pgc1a_dcm_male_old</t>
  </si>
  <si>
    <t>No compensatory change in males</t>
  </si>
  <si>
    <t>P007</t>
  </si>
  <si>
    <t>PGC-1α mRNA — failing human heart</t>
  </si>
  <si>
    <t>PGC1a_mRNA_HF</t>
  </si>
  <si>
    <t>fold change vs non-failing</t>
  </si>
  <si>
    <t>Both</t>
  </si>
  <si>
    <t>Heart failure</t>
  </si>
  <si>
    <t>qRT-PCR</t>
  </si>
  <si>
    <t>19061896</t>
  </si>
  <si>
    <t>pgc1a_mrna_hf</t>
  </si>
  <si>
    <t>Consistent with protein-level suppression in HF</t>
  </si>
  <si>
    <t>Estrogen Receptor Beta (ERβ)</t>
  </si>
  <si>
    <t>E001</t>
  </si>
  <si>
    <t>ERβ protein — OVX female vs sham</t>
  </si>
  <si>
    <t>ERb_OVX</t>
  </si>
  <si>
    <t>erb_ovx_female</t>
  </si>
  <si>
    <t>Cardiac ERβ downregulated after OVX; E2 restores</t>
  </si>
  <si>
    <t>E002</t>
  </si>
  <si>
    <t>ERβ protein — diabetic vs control (HFD)</t>
  </si>
  <si>
    <t>ERb_T2DM</t>
  </si>
  <si>
    <t>ESTIMATED</t>
  </si>
  <si>
    <t>erb_t2dm_male</t>
  </si>
  <si>
    <t>Estimated from PGC-1α correlation; no direct ERβ value given</t>
  </si>
  <si>
    <t>E003</t>
  </si>
  <si>
    <t>ERβ mRNA — cardiac mitochondria</t>
  </si>
  <si>
    <t>ERb_mito_mRNA</t>
  </si>
  <si>
    <t>reference level</t>
  </si>
  <si>
    <t>Female (pre)</t>
  </si>
  <si>
    <t>Healthy</t>
  </si>
  <si>
    <t>28572055</t>
  </si>
  <si>
    <t>erb_mito_ref</t>
  </si>
  <si>
    <t>ERβ concentrated in IFM &gt; SSM in female rat</t>
  </si>
  <si>
    <t>Mitochondrial Density / Biogenesis</t>
  </si>
  <si>
    <t>M001</t>
  </si>
  <si>
    <t>Mitochondrial volume density — OVX female</t>
  </si>
  <si>
    <t>Mito_vol_OVX</t>
  </si>
  <si>
    <t>% volume density</t>
  </si>
  <si>
    <t>~±3</t>
  </si>
  <si>
    <t>TEM</t>
  </si>
  <si>
    <t>mito_vol_ovx</t>
  </si>
  <si>
    <t>Sham = 45%; OVX = 30%; E2 restores to ~42%</t>
  </si>
  <si>
    <t>M002</t>
  </si>
  <si>
    <t>Mitochondrial volume density — healthy female</t>
  </si>
  <si>
    <t>Mito_vol_F_ctrl</t>
  </si>
  <si>
    <t>~±4</t>
  </si>
  <si>
    <t>mito_vol_female_ctrl</t>
  </si>
  <si>
    <t>Reference value for premenopausal female</t>
  </si>
  <si>
    <t>M003</t>
  </si>
  <si>
    <t>Mitochondrial density — HFD diabetic mice</t>
  </si>
  <si>
    <t>Mito_dens_T2DM</t>
  </si>
  <si>
    <t>TEM count</t>
  </si>
  <si>
    <t>mito_dens_t2dm</t>
  </si>
  <si>
    <t>~40% reduction in TEM count</t>
  </si>
  <si>
    <t>M004</t>
  </si>
  <si>
    <t>mtDNA/nDNA ratio — human DCM</t>
  </si>
  <si>
    <t>mtDNA_DCM</t>
  </si>
  <si>
    <t>mtDNA/nuclear DNA</t>
  </si>
  <si>
    <t>qPCR</t>
  </si>
  <si>
    <t>mtdna_dcm_human</t>
  </si>
  <si>
    <t>Indicates reduced mitochondrial number in DCM</t>
  </si>
  <si>
    <t>M005</t>
  </si>
  <si>
    <t>mtDNA copy number — age/sex comparison</t>
  </si>
  <si>
    <t>mtDNA_age_sex</t>
  </si>
  <si>
    <t>Healthy/aging</t>
  </si>
  <si>
    <t>mtdna_age_sex_ref</t>
  </si>
  <si>
    <t>Females maintain higher mtDNA copy number than males into aging</t>
  </si>
  <si>
    <t>ROS Production / Oxidative Stress</t>
  </si>
  <si>
    <t>R001</t>
  </si>
  <si>
    <t>H2O2 production — OVX IFM (Glu+Mal)</t>
  </si>
  <si>
    <t>ROS_OVX_IFM</t>
  </si>
  <si>
    <t>dAUC (Amplex Red)</t>
  </si>
  <si>
    <t>Amplex Red fluorometry</t>
  </si>
  <si>
    <t>ros_ovx_ifm</t>
  </si>
  <si>
    <t>Sham IFM ~420,000; OVX IFM ~500,000 dAUC</t>
  </si>
  <si>
    <t>R002</t>
  </si>
  <si>
    <t>MDA (lipid peroxidation) — OVX HCM mice</t>
  </si>
  <si>
    <t>MDA_OVX</t>
  </si>
  <si>
    <t>nmol/g wet weight</t>
  </si>
  <si>
    <t>±0.03</t>
  </si>
  <si>
    <t>Hypertrophic cardiomyopathy</t>
  </si>
  <si>
    <t>Thiobarbituric acid assay</t>
  </si>
  <si>
    <t>25541436</t>
  </si>
  <si>
    <t>mda_ovx_female</t>
  </si>
  <si>
    <t>E2 treatment reduces to 0.21±0.02 nmol/g</t>
  </si>
  <si>
    <t>R003</t>
  </si>
  <si>
    <t>MDA — E2-treated OVX HCM mice</t>
  </si>
  <si>
    <t>MDA_E2_treated</t>
  </si>
  <si>
    <t>±0.02</t>
  </si>
  <si>
    <t>Female (OVX+E2)</t>
  </si>
  <si>
    <t>HCM + E2 treatment</t>
  </si>
  <si>
    <t>mda_e2_treated</t>
  </si>
  <si>
    <t>E2 restores MDA toward healthy levels</t>
  </si>
  <si>
    <t>R004</t>
  </si>
  <si>
    <t>ROS fold increase — high glucose cardiomyocytes</t>
  </si>
  <si>
    <t>ROS_HG_fold</t>
  </si>
  <si>
    <t>~±0.3</t>
  </si>
  <si>
    <t>High glucose (T2DM model)</t>
  </si>
  <si>
    <t>Rat cardiomyocytes</t>
  </si>
  <si>
    <t>DCF fluorescence</t>
  </si>
  <si>
    <t>ros_hg_fold</t>
  </si>
  <si>
    <t>~2.5-fold ROS increase under high glucose; empagliflozin reduces</t>
  </si>
  <si>
    <t>R005</t>
  </si>
  <si>
    <t>MnSOD / SOD2 — older males vs females</t>
  </si>
  <si>
    <t>SOD2_sex_age</t>
  </si>
  <si>
    <t>Aging</t>
  </si>
  <si>
    <t>Activity assay</t>
  </si>
  <si>
    <t>33303703</t>
  </si>
  <si>
    <t>sod2_male_old</t>
  </si>
  <si>
    <t>SOD2 reduced specifically in older males; sex-specific vulnerability</t>
  </si>
  <si>
    <t>MnSOD / Antioxidant Defense</t>
  </si>
  <si>
    <t>A001</t>
  </si>
  <si>
    <t>MnSOD activity — HG cardiomyocytes (diabetic)</t>
  </si>
  <si>
    <t>MnSOD_HG</t>
  </si>
  <si>
    <t>U/mL</t>
  </si>
  <si>
    <t>±9.8</t>
  </si>
  <si>
    <t>T2DM (high glucose)</t>
  </si>
  <si>
    <t>SOD activity kit</t>
  </si>
  <si>
    <t>mnsod_hg_diabetic</t>
  </si>
  <si>
    <t>Empagliflozin restores to 207.5±17.3 U/mL</t>
  </si>
  <si>
    <t>A002</t>
  </si>
  <si>
    <t>MnSOD activity — empagliflozin treated</t>
  </si>
  <si>
    <t>MnSOD_EMPA</t>
  </si>
  <si>
    <t>±17.3</t>
  </si>
  <si>
    <t>T2DM + empagliflozin</t>
  </si>
  <si>
    <t>mnsod_empa</t>
  </si>
  <si>
    <t>SGLT2i rescues antioxidant capacity</t>
  </si>
  <si>
    <t>A003</t>
  </si>
  <si>
    <t>Glutathione peroxidase — cardiac (reference)</t>
  </si>
  <si>
    <t>GPx_cardiac</t>
  </si>
  <si>
    <t>Enzyme activity</t>
  </si>
  <si>
    <t>gpx_cardiac_ref</t>
  </si>
  <si>
    <t>Female cardiac GPx higher than male — from PMID 28320896 context</t>
  </si>
  <si>
    <t>Mitochondrial Membrane Potential (ΔΨm)</t>
  </si>
  <si>
    <t>D001</t>
  </si>
  <si>
    <t>ΔΨm — HG cardiomyocytes (diabetic)</t>
  </si>
  <si>
    <t>dPsi_HG</t>
  </si>
  <si>
    <t>JC-1 ratio (red/green)</t>
  </si>
  <si>
    <t>JC-1 fluorometry</t>
  </si>
  <si>
    <t>dpsi_hg_diabetic</t>
  </si>
  <si>
    <t>Severely depolarized; empagliflozin restores to 1.41±0.12</t>
  </si>
  <si>
    <t>D002</t>
  </si>
  <si>
    <t>ΔΨm — empagliflozin treated</t>
  </si>
  <si>
    <t>dPsi_EMPA</t>
  </si>
  <si>
    <t>±0.12</t>
  </si>
  <si>
    <t>dpsi_empa</t>
  </si>
  <si>
    <t>SGLT2i substantially restores membrane potential</t>
  </si>
  <si>
    <t>D003</t>
  </si>
  <si>
    <t>State 3 respiration — OVX HCM mice</t>
  </si>
  <si>
    <t>State3_OVX</t>
  </si>
  <si>
    <t>pmol O₂/s/mg protein</t>
  </si>
  <si>
    <t>±1.87</t>
  </si>
  <si>
    <t>HCM + estrogen deficiency</t>
  </si>
  <si>
    <t>Seahorse XF</t>
  </si>
  <si>
    <t>state3_ovx</t>
  </si>
  <si>
    <t>Testosterone/E2 treated group: 31.99±2.24 pmol O₂/s/mg</t>
  </si>
  <si>
    <t>D004</t>
  </si>
  <si>
    <t>State 3 respiration — E2 treated OVX</t>
  </si>
  <si>
    <t>State3_E2</t>
  </si>
  <si>
    <t>±2.24</t>
  </si>
  <si>
    <t>state3_e2</t>
  </si>
  <si>
    <t>E2 rescues respiratory capacity</t>
  </si>
  <si>
    <t>ATP Production</t>
  </si>
  <si>
    <t>AT001</t>
  </si>
  <si>
    <t>ATP — HG cardiomyocytes (diabetic)</t>
  </si>
  <si>
    <t>ATP_HG</t>
  </si>
  <si>
    <t>nM/g tissue</t>
  </si>
  <si>
    <t>±0.18</t>
  </si>
  <si>
    <t>Luciferase assay</t>
  </si>
  <si>
    <t>atp_hg_diabetic</t>
  </si>
  <si>
    <t>Empagliflozin restores to 2.87±0.22 nM/g</t>
  </si>
  <si>
    <t>AT002</t>
  </si>
  <si>
    <t>ATP — empagliflozin treated</t>
  </si>
  <si>
    <t>ATP_EMPA</t>
  </si>
  <si>
    <t>±0.22</t>
  </si>
  <si>
    <t>atp_empa</t>
  </si>
  <si>
    <t>~2-fold increase with SGLT2i treatment</t>
  </si>
  <si>
    <t>AT003</t>
  </si>
  <si>
    <t>ATP — OVX HCM mice cardiac</t>
  </si>
  <si>
    <t>ATP_OVX_HCM</t>
  </si>
  <si>
    <t>μmol/g wet weight</t>
  </si>
  <si>
    <t>±0.31</t>
  </si>
  <si>
    <t>Luminometry</t>
  </si>
  <si>
    <t>atp_ovx_hcm</t>
  </si>
  <si>
    <t>E2 treatment restores to 4.55±0.21; control 5.07±0.47</t>
  </si>
  <si>
    <t>AT004</t>
  </si>
  <si>
    <t>ATP — E2 treated OVX HCM mice</t>
  </si>
  <si>
    <t>ATP_E2_HCM</t>
  </si>
  <si>
    <t>±0.21</t>
  </si>
  <si>
    <t>HCM + E2</t>
  </si>
  <si>
    <t>atp_e2_hcm</t>
  </si>
  <si>
    <t>Approaching control level (5.07±0.47)</t>
  </si>
  <si>
    <t>AT005</t>
  </si>
  <si>
    <t>ATP — healthy control HCM mice</t>
  </si>
  <si>
    <t>ATP_ctrl_HCM</t>
  </si>
  <si>
    <t>±0.47</t>
  </si>
  <si>
    <t>atp_ctrl_hcm</t>
  </si>
  <si>
    <t>Reference value for premenopausal healthy female</t>
  </si>
  <si>
    <t>AT006</t>
  </si>
  <si>
    <t>ATP — postmenopausal mice cardiac</t>
  </si>
  <si>
    <t>ATP_postmeno</t>
  </si>
  <si>
    <t>nmol/mg protein</t>
  </si>
  <si>
    <t>Female (post)</t>
  </si>
  <si>
    <t>Estrogen deficiency/aging</t>
  </si>
  <si>
    <t>atp_postmeno</t>
  </si>
  <si>
    <t>Sham (young) = 6.5 nmol/mg protein</t>
  </si>
  <si>
    <t>AT007</t>
  </si>
  <si>
    <t>ATP — young female mice cardiac</t>
  </si>
  <si>
    <t>ATP_young_F</t>
  </si>
  <si>
    <t>Female (young)</t>
  </si>
  <si>
    <t>atp_young_female</t>
  </si>
  <si>
    <t>Reference for young premenopausal</t>
  </si>
  <si>
    <t>Complex I / Electron Transport Chain Activity</t>
  </si>
  <si>
    <t>C001</t>
  </si>
  <si>
    <t>Complex I activity — OVX female cardiac</t>
  </si>
  <si>
    <t>CI_OVX</t>
  </si>
  <si>
    <t>nmol O₂/min/mg protein</t>
  </si>
  <si>
    <t>Clark electrode</t>
  </si>
  <si>
    <t>ci_ovx_female</t>
  </si>
  <si>
    <t>Sham = 75 nmol O₂/min/mg; 47% reduction with OVX</t>
  </si>
  <si>
    <t>C002</t>
  </si>
  <si>
    <t>Complex I activity — healthy female cardiac</t>
  </si>
  <si>
    <t>CI_F_ctrl</t>
  </si>
  <si>
    <t>ci_female_ctrl</t>
  </si>
  <si>
    <t>Reference Complex I for premenopausal female</t>
  </si>
  <si>
    <t>C003</t>
  </si>
  <si>
    <t>Complex I — OVX IFM (paradoxical)</t>
  </si>
  <si>
    <t>CI_OVX_IFM</t>
  </si>
  <si>
    <t>natoms O/min/mg protein</t>
  </si>
  <si>
    <t>±10</t>
  </si>
  <si>
    <t>Polarography</t>
  </si>
  <si>
    <t>ci_ovx_ifm_rat</t>
  </si>
  <si>
    <t>Paradoxical increase in IFM subset; sham = 150±5 — may reflect compensatory response</t>
  </si>
  <si>
    <t>C004</t>
  </si>
  <si>
    <t>Complex I — HFD diabetic mice</t>
  </si>
  <si>
    <t>CI_HFD</t>
  </si>
  <si>
    <t>Fiber respiration</t>
  </si>
  <si>
    <t>ci_hfd_male</t>
  </si>
  <si>
    <t>~50% reduction in HFD model</t>
  </si>
  <si>
    <t>Drug Effects — SGLT2 Inhibitor (Empagliflozin) for Aim 3 Simulations</t>
  </si>
  <si>
    <t>DRG001</t>
  </si>
  <si>
    <t>Empagliflozin effect on PGC-1α (db/db)</t>
  </si>
  <si>
    <t>EMPA_PGC1a</t>
  </si>
  <si>
    <t>Mouse (db/db)</t>
  </si>
  <si>
    <t>empa_pgc1a_effect</t>
  </si>
  <si>
    <t>Baseline db/db = 0.62; empagliflozin rescues to 0.93</t>
  </si>
  <si>
    <t>DRG002</t>
  </si>
  <si>
    <t>Empagliflozin effect on ΔΨm</t>
  </si>
  <si>
    <t>EMPA_dPsi</t>
  </si>
  <si>
    <t>JC-1 ratio</t>
  </si>
  <si>
    <t>JC-1</t>
  </si>
  <si>
    <t>empa_dpsi_effect</t>
  </si>
  <si>
    <t>Baseline HG = 0.14; 10-fold improvement</t>
  </si>
  <si>
    <t>DRG003</t>
  </si>
  <si>
    <t>Empagliflozin effect on ATP</t>
  </si>
  <si>
    <t>EMPA_ATP</t>
  </si>
  <si>
    <t>nM/g</t>
  </si>
  <si>
    <t>Luciferase</t>
  </si>
  <si>
    <t>empa_atp_effect</t>
  </si>
  <si>
    <t>Baseline HG = 1.45; ~2-fold increase</t>
  </si>
  <si>
    <t>DRG004</t>
  </si>
  <si>
    <t>Empagliflozin effect on MnSOD</t>
  </si>
  <si>
    <t>EMPA_MnSOD</t>
  </si>
  <si>
    <t>empa_mnsod_effect</t>
  </si>
  <si>
    <t>Baseline HG = 76.2 U/mL; 2.7-fold increase</t>
  </si>
  <si>
    <t>DRG005</t>
  </si>
  <si>
    <t>Empagliflozin via AMPK/PGC-1α pathway</t>
  </si>
  <si>
    <t>EMPA_AMPK</t>
  </si>
  <si>
    <t>pathway confirmed</t>
  </si>
  <si>
    <t>Mouse/Rat</t>
  </si>
  <si>
    <t>Western blot + pathway</t>
  </si>
  <si>
    <t>empa_ampk_pathway</t>
  </si>
  <si>
    <t>Mechanism: EMPA → AMPK activation → PGC-1α upregulation → mitochondrial rescue</t>
  </si>
  <si>
    <t>⚠ PARAMETER GAPS — Additional Literature Search Needed</t>
  </si>
  <si>
    <t>GAP001</t>
  </si>
  <si>
    <t>ERβ binding affinity (Kd) for 17β-estradiol</t>
  </si>
  <si>
    <t>ERb_Kd</t>
  </si>
  <si>
    <t>nM (expected 0.1–1 nM)</t>
  </si>
  <si>
    <t>Various</t>
  </si>
  <si>
    <t>Binding assay / SPR</t>
  </si>
  <si>
    <t>SEARCH NEEDED</t>
  </si>
  <si>
    <t>LOW</t>
  </si>
  <si>
    <t>erb_kd_e2</t>
  </si>
  <si>
    <t>Search: 'estrogen receptor beta binding affinity Kd cardiac nM'</t>
  </si>
  <si>
    <t>GAP002</t>
  </si>
  <si>
    <t>PGC-1α protein half-life (t½)</t>
  </si>
  <si>
    <t>PGC1a_halflife</t>
  </si>
  <si>
    <t>hours (expected 2–6 h)</t>
  </si>
  <si>
    <t>Pulse-chase / cycloheximide</t>
  </si>
  <si>
    <t>pgc1a_halflife</t>
  </si>
  <si>
    <t>Search: 'PGC-1alpha protein turnover half-life degradation rate'</t>
  </si>
  <si>
    <t>GAP003</t>
  </si>
  <si>
    <t>TFAM protein level — diabetic vs control heart</t>
  </si>
  <si>
    <t>TFAM_T2DM</t>
  </si>
  <si>
    <t>fold change (expected 0.5–0.8)</t>
  </si>
  <si>
    <t>T2DM</t>
  </si>
  <si>
    <t>tfam_t2dm</t>
  </si>
  <si>
    <t>Search: 'TFAM mitochondrial transcription factor diabetic heart fold change'</t>
  </si>
  <si>
    <t>MATLAB SimBiology Import Guide</t>
  </si>
  <si>
    <t>How to use this parameter table in MATLAB SimBiology</t>
  </si>
  <si>
    <t>Step 1 — Load CSV into MATLAB</t>
  </si>
  <si>
    <t>csvtable = readtable('Layer1_Parameters.csv'); % Load parameters</t>
  </si>
  <si>
    <t>Step 2 — Extract HIGH confidence values</t>
  </si>
  <si>
    <t>high_params = csvtable(strcmp(csvtable.Confidence,'HIGH'),:);</t>
  </si>
  <si>
    <t>Step 3 — Set initial conditions (female pre)</t>
  </si>
  <si>
    <t>% Use MATLAB variable names from column M</t>
  </si>
  <si>
    <t>pgc1a_0 = 1.0;  % premenopausal female reference</t>
  </si>
  <si>
    <t>ros_0   = 1.0;  % normalized reference</t>
  </si>
  <si>
    <t>mito_vol_0 = 45.0;  % % volume density</t>
  </si>
  <si>
    <t>atp_0 = 5.07;  % μmol/g wet weight</t>
  </si>
  <si>
    <t>dpsi_0 = 1.41;  % JC-1 ratio healthy reference</t>
  </si>
  <si>
    <t>Step 4 — Sex-specific scaling factors</t>
  </si>
  <si>
    <t>% Female postmenopausal: scale E2 to ~10% of premenopausal</t>
  </si>
  <si>
    <t>E2_postmeno_scale = 0.10;</t>
  </si>
  <si>
    <t>% Male: E2 ~5% of premenopausal female</t>
  </si>
  <si>
    <t>E2_male_scale = 0.05;</t>
  </si>
  <si>
    <t>Step 5 — Key kinetic rates (estimated from data)</t>
  </si>
  <si>
    <t>k_pgc1a_deg = log(2)/4;  % t½ ≈ 4h (SEARCH NEEDED — GAP002)</t>
  </si>
  <si>
    <t>k_ros_scav  = 0.1;       % MnSOD scavenging (fit to data)</t>
  </si>
  <si>
    <t>k_mito_biogenesis = 0.05; % per hour (fit to density data)</t>
  </si>
  <si>
    <t>Step 6 — Drug effect parameters (Aim 3)</t>
  </si>
  <si>
    <t>empa_pgc1a_fold = 0.93/0.62;  % ~1.5x restoration</t>
  </si>
  <si>
    <t>empa_dpsi_fold  = 1.41/0.14;  % ~10x restoration</t>
  </si>
  <si>
    <t>empa_atp_fold   = 2.87/1.45;  % ~2x restoration</t>
  </si>
  <si>
    <t>PRIORITY GAPS TO FILL BEFORE MODEL FINALIZATION</t>
  </si>
  <si>
    <t>GAP001 — ERβ Kd</t>
  </si>
  <si>
    <t>PubMed: 'estrogen receptor beta binding affinity Kd cardiac nM'</t>
  </si>
  <si>
    <t>Expected: 0.1–1 nM</t>
  </si>
  <si>
    <t>GAP002 — PGC-1α t½</t>
  </si>
  <si>
    <t>PubMed: 'PGC-1alpha protein turnover half-life degradation rate'</t>
  </si>
  <si>
    <t>Expected: 2–6 hours</t>
  </si>
  <si>
    <t>GAP003 — TFAM fold change</t>
  </si>
  <si>
    <t>PubMed: 'TFAM mitochondrial transcription factor diabetic heart fold change'</t>
  </si>
  <si>
    <t>Expected: 0.5–0.8x</t>
  </si>
  <si>
    <t>Confidence Level</t>
  </si>
  <si>
    <t>Count</t>
  </si>
  <si>
    <t>LOW (Gap — search needed)</t>
  </si>
  <si>
    <t>TOTAL PARAMETERS</t>
  </si>
  <si>
    <t>Sex-Specific Diabetic Cardiomyopathy QSP Model  |  Extracted from Literature  |  Soheili M, Gilzad-Kohan H, Lotfi AS | 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</si>
</sst>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9"/>
      <color rgb="FF1F3864"/>
      <name val="Arial"/>
    </font>
    <font>
      <i/>
      <sz val="9"/>
      <name val="Arial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3" fillId="3" borderId="1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pane ySplit="3" topLeftCell="A4" activePane="bottomLeft" state="frozen"/>
      <selection pane="bottomLeft" activeCell="A2" sqref="A2:N2"/>
    </sheetView>
  </sheetViews>
  <sheetFormatPr defaultRowHeight="14.4" x14ac:dyDescent="0.3"/>
  <cols>
    <col min="1" max="1" width="12" customWidth="1"/>
    <col min="2" max="2" width="28" customWidth="1"/>
    <col min="3" max="3" width="16" customWidth="1"/>
    <col min="4" max="4" width="10" customWidth="1"/>
    <col min="5" max="5" width="14" customWidth="1"/>
    <col min="6" max="6" width="10" customWidth="1"/>
    <col min="7" max="7" width="12" customWidth="1"/>
    <col min="8" max="10" width="18" customWidth="1"/>
    <col min="11" max="12" width="12" customWidth="1"/>
    <col min="13" max="13" width="22" customWidth="1"/>
    <col min="14" max="14" width="45" customWidth="1"/>
  </cols>
  <sheetData>
    <row r="1" spans="1:14" ht="28.05" customHeight="1" x14ac:dyDescent="0.3">
      <c r="A1" s="15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">
      <c r="A2" s="14" t="s">
        <v>409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40.049999999999997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18" customHeight="1" x14ac:dyDescent="0.3">
      <c r="A4" s="12" t="s">
        <v>15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0.049999999999997" customHeight="1" x14ac:dyDescent="0.3">
      <c r="A5" s="2" t="s">
        <v>16</v>
      </c>
      <c r="B5" s="2" t="s">
        <v>17</v>
      </c>
      <c r="C5" s="2" t="s">
        <v>18</v>
      </c>
      <c r="D5" s="2">
        <v>0.62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</row>
    <row r="6" spans="1:14" ht="40.049999999999997" customHeight="1" x14ac:dyDescent="0.3">
      <c r="A6" s="3" t="s">
        <v>29</v>
      </c>
      <c r="B6" s="3" t="s">
        <v>30</v>
      </c>
      <c r="C6" s="3" t="s">
        <v>31</v>
      </c>
      <c r="D6" s="3">
        <v>0.5</v>
      </c>
      <c r="E6" s="3" t="s">
        <v>19</v>
      </c>
      <c r="F6" s="3" t="s">
        <v>32</v>
      </c>
      <c r="G6" s="3" t="s">
        <v>33</v>
      </c>
      <c r="H6" s="3" t="s">
        <v>34</v>
      </c>
      <c r="I6" s="3" t="s">
        <v>23</v>
      </c>
      <c r="J6" s="3" t="s">
        <v>24</v>
      </c>
      <c r="K6" s="3" t="s">
        <v>35</v>
      </c>
      <c r="L6" s="3" t="s">
        <v>26</v>
      </c>
      <c r="M6" s="3" t="s">
        <v>36</v>
      </c>
      <c r="N6" s="3" t="s">
        <v>37</v>
      </c>
    </row>
    <row r="7" spans="1:14" ht="40.049999999999997" customHeight="1" x14ac:dyDescent="0.3">
      <c r="A7" s="2" t="s">
        <v>38</v>
      </c>
      <c r="B7" s="2" t="s">
        <v>39</v>
      </c>
      <c r="C7" s="2" t="s">
        <v>40</v>
      </c>
      <c r="D7" s="2">
        <v>0.6</v>
      </c>
      <c r="E7" s="2" t="s">
        <v>19</v>
      </c>
      <c r="F7" s="2" t="s">
        <v>41</v>
      </c>
      <c r="G7" s="2" t="s">
        <v>21</v>
      </c>
      <c r="H7" s="2" t="s">
        <v>42</v>
      </c>
      <c r="I7" s="2" t="s">
        <v>23</v>
      </c>
      <c r="J7" s="2" t="s">
        <v>24</v>
      </c>
      <c r="K7" s="2" t="s">
        <v>43</v>
      </c>
      <c r="L7" s="2" t="s">
        <v>26</v>
      </c>
      <c r="M7" s="2" t="s">
        <v>44</v>
      </c>
      <c r="N7" s="2" t="s">
        <v>45</v>
      </c>
    </row>
    <row r="8" spans="1:14" ht="40.049999999999997" customHeight="1" x14ac:dyDescent="0.3">
      <c r="A8" s="3" t="s">
        <v>46</v>
      </c>
      <c r="B8" s="3" t="s">
        <v>47</v>
      </c>
      <c r="C8" s="3" t="s">
        <v>48</v>
      </c>
      <c r="D8" s="3">
        <v>0.5</v>
      </c>
      <c r="E8" s="3" t="s">
        <v>19</v>
      </c>
      <c r="F8" s="3" t="s">
        <v>49</v>
      </c>
      <c r="G8" s="3" t="s">
        <v>50</v>
      </c>
      <c r="H8" s="3" t="s">
        <v>51</v>
      </c>
      <c r="I8" s="3" t="s">
        <v>52</v>
      </c>
      <c r="J8" s="3" t="s">
        <v>24</v>
      </c>
      <c r="K8" s="3" t="s">
        <v>53</v>
      </c>
      <c r="L8" s="3" t="s">
        <v>26</v>
      </c>
      <c r="M8" s="3" t="s">
        <v>54</v>
      </c>
      <c r="N8" s="3" t="s">
        <v>55</v>
      </c>
    </row>
    <row r="9" spans="1:14" ht="40.049999999999997" customHeight="1" x14ac:dyDescent="0.3">
      <c r="A9" s="2" t="s">
        <v>56</v>
      </c>
      <c r="B9" s="2" t="s">
        <v>57</v>
      </c>
      <c r="C9" s="2" t="s">
        <v>58</v>
      </c>
      <c r="D9" s="2">
        <v>1.7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24</v>
      </c>
      <c r="K9" s="2" t="s">
        <v>64</v>
      </c>
      <c r="L9" s="2" t="s">
        <v>26</v>
      </c>
      <c r="M9" s="2" t="s">
        <v>65</v>
      </c>
      <c r="N9" s="2" t="s">
        <v>66</v>
      </c>
    </row>
    <row r="10" spans="1:14" ht="40.049999999999997" customHeight="1" x14ac:dyDescent="0.3">
      <c r="A10" s="3" t="s">
        <v>67</v>
      </c>
      <c r="B10" s="3" t="s">
        <v>68</v>
      </c>
      <c r="C10" s="3" t="s">
        <v>69</v>
      </c>
      <c r="D10" s="3">
        <v>1</v>
      </c>
      <c r="E10" s="3" t="s">
        <v>59</v>
      </c>
      <c r="F10" s="3" t="s">
        <v>60</v>
      </c>
      <c r="G10" s="3" t="s">
        <v>70</v>
      </c>
      <c r="H10" s="3" t="s">
        <v>62</v>
      </c>
      <c r="I10" s="3" t="s">
        <v>63</v>
      </c>
      <c r="J10" s="3" t="s">
        <v>24</v>
      </c>
      <c r="K10" s="3" t="s">
        <v>64</v>
      </c>
      <c r="L10" s="3" t="s">
        <v>26</v>
      </c>
      <c r="M10" s="3" t="s">
        <v>71</v>
      </c>
      <c r="N10" s="3" t="s">
        <v>72</v>
      </c>
    </row>
    <row r="11" spans="1:14" ht="40.049999999999997" customHeight="1" x14ac:dyDescent="0.3">
      <c r="A11" s="2" t="s">
        <v>73</v>
      </c>
      <c r="B11" s="2" t="s">
        <v>74</v>
      </c>
      <c r="C11" s="2" t="s">
        <v>75</v>
      </c>
      <c r="D11" s="2">
        <v>0.45</v>
      </c>
      <c r="E11" s="2" t="s">
        <v>76</v>
      </c>
      <c r="F11" s="2" t="s">
        <v>32</v>
      </c>
      <c r="G11" s="2" t="s">
        <v>77</v>
      </c>
      <c r="H11" s="2" t="s">
        <v>78</v>
      </c>
      <c r="I11" s="2" t="s">
        <v>63</v>
      </c>
      <c r="J11" s="2" t="s">
        <v>79</v>
      </c>
      <c r="K11" s="2" t="s">
        <v>80</v>
      </c>
      <c r="L11" s="2" t="s">
        <v>26</v>
      </c>
      <c r="M11" s="2" t="s">
        <v>81</v>
      </c>
      <c r="N11" s="2" t="s">
        <v>82</v>
      </c>
    </row>
    <row r="12" spans="1:14" ht="18" customHeight="1" x14ac:dyDescent="0.3">
      <c r="A12" s="12" t="s">
        <v>83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40.049999999999997" customHeight="1" x14ac:dyDescent="0.3">
      <c r="A13" s="2" t="s">
        <v>84</v>
      </c>
      <c r="B13" s="2" t="s">
        <v>85</v>
      </c>
      <c r="C13" s="2" t="s">
        <v>86</v>
      </c>
      <c r="D13" s="2">
        <v>0.55000000000000004</v>
      </c>
      <c r="E13" s="2" t="s">
        <v>19</v>
      </c>
      <c r="F13" s="2" t="s">
        <v>41</v>
      </c>
      <c r="G13" s="2" t="s">
        <v>33</v>
      </c>
      <c r="H13" s="2" t="s">
        <v>34</v>
      </c>
      <c r="I13" s="2" t="s">
        <v>23</v>
      </c>
      <c r="J13" s="2" t="s">
        <v>24</v>
      </c>
      <c r="K13" s="2" t="s">
        <v>35</v>
      </c>
      <c r="L13" s="2" t="s">
        <v>26</v>
      </c>
      <c r="M13" s="2" t="s">
        <v>87</v>
      </c>
      <c r="N13" s="2" t="s">
        <v>88</v>
      </c>
    </row>
    <row r="14" spans="1:14" ht="40.049999999999997" customHeight="1" x14ac:dyDescent="0.3">
      <c r="A14" s="4" t="s">
        <v>89</v>
      </c>
      <c r="B14" s="4" t="s">
        <v>90</v>
      </c>
      <c r="C14" s="4" t="s">
        <v>91</v>
      </c>
      <c r="D14" s="4">
        <v>0.6</v>
      </c>
      <c r="E14" s="4" t="s">
        <v>19</v>
      </c>
      <c r="F14" s="4" t="s">
        <v>41</v>
      </c>
      <c r="G14" s="4" t="s">
        <v>21</v>
      </c>
      <c r="H14" s="4" t="s">
        <v>42</v>
      </c>
      <c r="I14" s="4" t="s">
        <v>23</v>
      </c>
      <c r="J14" s="4" t="s">
        <v>24</v>
      </c>
      <c r="K14" s="4" t="s">
        <v>43</v>
      </c>
      <c r="L14" s="4" t="s">
        <v>92</v>
      </c>
      <c r="M14" s="4" t="s">
        <v>93</v>
      </c>
      <c r="N14" s="4" t="s">
        <v>94</v>
      </c>
    </row>
    <row r="15" spans="1:14" ht="40.049999999999997" customHeight="1" x14ac:dyDescent="0.3">
      <c r="A15" s="2" t="s">
        <v>95</v>
      </c>
      <c r="B15" s="2" t="s">
        <v>96</v>
      </c>
      <c r="C15" s="2" t="s">
        <v>97</v>
      </c>
      <c r="D15" s="2">
        <v>1</v>
      </c>
      <c r="E15" s="2" t="s">
        <v>98</v>
      </c>
      <c r="F15" s="2" t="s">
        <v>32</v>
      </c>
      <c r="G15" s="2" t="s">
        <v>99</v>
      </c>
      <c r="H15" s="2" t="s">
        <v>100</v>
      </c>
      <c r="I15" s="2" t="s">
        <v>52</v>
      </c>
      <c r="J15" s="2" t="s">
        <v>79</v>
      </c>
      <c r="K15" s="2" t="s">
        <v>101</v>
      </c>
      <c r="L15" s="2" t="s">
        <v>26</v>
      </c>
      <c r="M15" s="2" t="s">
        <v>102</v>
      </c>
      <c r="N15" s="2" t="s">
        <v>103</v>
      </c>
    </row>
    <row r="16" spans="1:14" ht="18" customHeight="1" x14ac:dyDescent="0.3">
      <c r="A16" s="12" t="s">
        <v>104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40.049999999999997" customHeight="1" x14ac:dyDescent="0.3">
      <c r="A17" s="2" t="s">
        <v>105</v>
      </c>
      <c r="B17" s="2" t="s">
        <v>106</v>
      </c>
      <c r="C17" s="2" t="s">
        <v>107</v>
      </c>
      <c r="D17" s="2">
        <v>30</v>
      </c>
      <c r="E17" s="2" t="s">
        <v>108</v>
      </c>
      <c r="F17" s="2" t="s">
        <v>109</v>
      </c>
      <c r="G17" s="2" t="s">
        <v>33</v>
      </c>
      <c r="H17" s="2" t="s">
        <v>34</v>
      </c>
      <c r="I17" s="2" t="s">
        <v>23</v>
      </c>
      <c r="J17" s="2" t="s">
        <v>110</v>
      </c>
      <c r="K17" s="2" t="s">
        <v>35</v>
      </c>
      <c r="L17" s="2" t="s">
        <v>26</v>
      </c>
      <c r="M17" s="2" t="s">
        <v>111</v>
      </c>
      <c r="N17" s="2" t="s">
        <v>112</v>
      </c>
    </row>
    <row r="18" spans="1:14" ht="40.049999999999997" customHeight="1" x14ac:dyDescent="0.3">
      <c r="A18" s="3" t="s">
        <v>113</v>
      </c>
      <c r="B18" s="3" t="s">
        <v>114</v>
      </c>
      <c r="C18" s="3" t="s">
        <v>115</v>
      </c>
      <c r="D18" s="3">
        <v>45</v>
      </c>
      <c r="E18" s="3" t="s">
        <v>108</v>
      </c>
      <c r="F18" s="3" t="s">
        <v>116</v>
      </c>
      <c r="G18" s="3" t="s">
        <v>99</v>
      </c>
      <c r="H18" s="3" t="s">
        <v>100</v>
      </c>
      <c r="I18" s="3" t="s">
        <v>23</v>
      </c>
      <c r="J18" s="3" t="s">
        <v>110</v>
      </c>
      <c r="K18" s="3" t="s">
        <v>35</v>
      </c>
      <c r="L18" s="3" t="s">
        <v>26</v>
      </c>
      <c r="M18" s="3" t="s">
        <v>117</v>
      </c>
      <c r="N18" s="3" t="s">
        <v>118</v>
      </c>
    </row>
    <row r="19" spans="1:14" ht="40.049999999999997" customHeight="1" x14ac:dyDescent="0.3">
      <c r="A19" s="2" t="s">
        <v>119</v>
      </c>
      <c r="B19" s="2" t="s">
        <v>120</v>
      </c>
      <c r="C19" s="2" t="s">
        <v>121</v>
      </c>
      <c r="D19" s="2">
        <v>0.6</v>
      </c>
      <c r="E19" s="2" t="s">
        <v>19</v>
      </c>
      <c r="F19" s="2" t="s">
        <v>41</v>
      </c>
      <c r="G19" s="2" t="s">
        <v>21</v>
      </c>
      <c r="H19" s="2" t="s">
        <v>42</v>
      </c>
      <c r="I19" s="2" t="s">
        <v>23</v>
      </c>
      <c r="J19" s="2" t="s">
        <v>122</v>
      </c>
      <c r="K19" s="2" t="s">
        <v>43</v>
      </c>
      <c r="L19" s="2" t="s">
        <v>26</v>
      </c>
      <c r="M19" s="2" t="s">
        <v>123</v>
      </c>
      <c r="N19" s="2" t="s">
        <v>124</v>
      </c>
    </row>
    <row r="20" spans="1:14" ht="40.049999999999997" customHeight="1" x14ac:dyDescent="0.3">
      <c r="A20" s="3" t="s">
        <v>125</v>
      </c>
      <c r="B20" s="3" t="s">
        <v>126</v>
      </c>
      <c r="C20" s="3" t="s">
        <v>127</v>
      </c>
      <c r="D20" s="3">
        <v>0.7</v>
      </c>
      <c r="E20" s="3" t="s">
        <v>128</v>
      </c>
      <c r="F20" s="3" t="s">
        <v>32</v>
      </c>
      <c r="G20" s="3" t="s">
        <v>77</v>
      </c>
      <c r="H20" s="3" t="s">
        <v>62</v>
      </c>
      <c r="I20" s="3" t="s">
        <v>63</v>
      </c>
      <c r="J20" s="3" t="s">
        <v>129</v>
      </c>
      <c r="K20" s="3" t="s">
        <v>64</v>
      </c>
      <c r="L20" s="3" t="s">
        <v>26</v>
      </c>
      <c r="M20" s="3" t="s">
        <v>130</v>
      </c>
      <c r="N20" s="3" t="s">
        <v>131</v>
      </c>
    </row>
    <row r="21" spans="1:14" ht="40.049999999999997" customHeight="1" x14ac:dyDescent="0.3">
      <c r="A21" s="2" t="s">
        <v>132</v>
      </c>
      <c r="B21" s="2" t="s">
        <v>133</v>
      </c>
      <c r="C21" s="2" t="s">
        <v>134</v>
      </c>
      <c r="D21" s="2">
        <v>1</v>
      </c>
      <c r="E21" s="2" t="s">
        <v>59</v>
      </c>
      <c r="F21" s="2" t="s">
        <v>32</v>
      </c>
      <c r="G21" s="2" t="s">
        <v>77</v>
      </c>
      <c r="H21" s="2" t="s">
        <v>135</v>
      </c>
      <c r="I21" s="2" t="s">
        <v>63</v>
      </c>
      <c r="J21" s="2" t="s">
        <v>129</v>
      </c>
      <c r="K21" s="2" t="s">
        <v>64</v>
      </c>
      <c r="L21" s="2" t="s">
        <v>26</v>
      </c>
      <c r="M21" s="2" t="s">
        <v>136</v>
      </c>
      <c r="N21" s="2" t="s">
        <v>137</v>
      </c>
    </row>
    <row r="22" spans="1:14" ht="18" customHeight="1" x14ac:dyDescent="0.3">
      <c r="A22" s="12" t="s">
        <v>138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40.049999999999997" customHeight="1" x14ac:dyDescent="0.3">
      <c r="A23" s="2" t="s">
        <v>139</v>
      </c>
      <c r="B23" s="2" t="s">
        <v>140</v>
      </c>
      <c r="C23" s="2" t="s">
        <v>141</v>
      </c>
      <c r="D23" s="2">
        <v>500000</v>
      </c>
      <c r="E23" s="2" t="s">
        <v>142</v>
      </c>
      <c r="F23" s="2" t="s">
        <v>32</v>
      </c>
      <c r="G23" s="2" t="s">
        <v>33</v>
      </c>
      <c r="H23" s="2" t="s">
        <v>34</v>
      </c>
      <c r="I23" s="2" t="s">
        <v>52</v>
      </c>
      <c r="J23" s="2" t="s">
        <v>143</v>
      </c>
      <c r="K23" s="2" t="s">
        <v>101</v>
      </c>
      <c r="L23" s="2" t="s">
        <v>26</v>
      </c>
      <c r="M23" s="2" t="s">
        <v>144</v>
      </c>
      <c r="N23" s="2" t="s">
        <v>145</v>
      </c>
    </row>
    <row r="24" spans="1:14" ht="40.049999999999997" customHeight="1" x14ac:dyDescent="0.3">
      <c r="A24" s="3" t="s">
        <v>146</v>
      </c>
      <c r="B24" s="3" t="s">
        <v>147</v>
      </c>
      <c r="C24" s="3" t="s">
        <v>148</v>
      </c>
      <c r="D24" s="3">
        <v>0.36</v>
      </c>
      <c r="E24" s="3" t="s">
        <v>149</v>
      </c>
      <c r="F24" s="3" t="s">
        <v>150</v>
      </c>
      <c r="G24" s="3" t="s">
        <v>33</v>
      </c>
      <c r="H24" s="3" t="s">
        <v>151</v>
      </c>
      <c r="I24" s="3" t="s">
        <v>23</v>
      </c>
      <c r="J24" s="3" t="s">
        <v>152</v>
      </c>
      <c r="K24" s="3" t="s">
        <v>153</v>
      </c>
      <c r="L24" s="3" t="s">
        <v>26</v>
      </c>
      <c r="M24" s="3" t="s">
        <v>154</v>
      </c>
      <c r="N24" s="3" t="s">
        <v>155</v>
      </c>
    </row>
    <row r="25" spans="1:14" ht="40.049999999999997" customHeight="1" x14ac:dyDescent="0.3">
      <c r="A25" s="2" t="s">
        <v>156</v>
      </c>
      <c r="B25" s="2" t="s">
        <v>157</v>
      </c>
      <c r="C25" s="2" t="s">
        <v>158</v>
      </c>
      <c r="D25" s="2">
        <v>0.21</v>
      </c>
      <c r="E25" s="2" t="s">
        <v>149</v>
      </c>
      <c r="F25" s="2" t="s">
        <v>159</v>
      </c>
      <c r="G25" s="2" t="s">
        <v>160</v>
      </c>
      <c r="H25" s="2" t="s">
        <v>161</v>
      </c>
      <c r="I25" s="2" t="s">
        <v>23</v>
      </c>
      <c r="J25" s="2" t="s">
        <v>152</v>
      </c>
      <c r="K25" s="2" t="s">
        <v>153</v>
      </c>
      <c r="L25" s="2" t="s">
        <v>26</v>
      </c>
      <c r="M25" s="2" t="s">
        <v>162</v>
      </c>
      <c r="N25" s="2" t="s">
        <v>163</v>
      </c>
    </row>
    <row r="26" spans="1:14" ht="40.049999999999997" customHeight="1" x14ac:dyDescent="0.3">
      <c r="A26" s="3" t="s">
        <v>164</v>
      </c>
      <c r="B26" s="3" t="s">
        <v>165</v>
      </c>
      <c r="C26" s="3" t="s">
        <v>166</v>
      </c>
      <c r="D26" s="3">
        <v>2.5</v>
      </c>
      <c r="E26" s="3" t="s">
        <v>19</v>
      </c>
      <c r="F26" s="3" t="s">
        <v>167</v>
      </c>
      <c r="G26" s="3" t="s">
        <v>77</v>
      </c>
      <c r="H26" s="3" t="s">
        <v>168</v>
      </c>
      <c r="I26" s="3" t="s">
        <v>169</v>
      </c>
      <c r="J26" s="3" t="s">
        <v>170</v>
      </c>
      <c r="K26" s="3" t="s">
        <v>25</v>
      </c>
      <c r="L26" s="3" t="s">
        <v>26</v>
      </c>
      <c r="M26" s="3" t="s">
        <v>171</v>
      </c>
      <c r="N26" s="3" t="s">
        <v>172</v>
      </c>
    </row>
    <row r="27" spans="1:14" ht="40.049999999999997" customHeight="1" x14ac:dyDescent="0.3">
      <c r="A27" s="2" t="s">
        <v>173</v>
      </c>
      <c r="B27" s="2" t="s">
        <v>174</v>
      </c>
      <c r="C27" s="2" t="s">
        <v>175</v>
      </c>
      <c r="D27" s="2">
        <v>0.45</v>
      </c>
      <c r="E27" s="2" t="s">
        <v>59</v>
      </c>
      <c r="F27" s="2" t="s">
        <v>32</v>
      </c>
      <c r="G27" s="2" t="s">
        <v>70</v>
      </c>
      <c r="H27" s="2" t="s">
        <v>176</v>
      </c>
      <c r="I27" s="2" t="s">
        <v>63</v>
      </c>
      <c r="J27" s="2" t="s">
        <v>177</v>
      </c>
      <c r="K27" s="2" t="s">
        <v>178</v>
      </c>
      <c r="L27" s="2" t="s">
        <v>26</v>
      </c>
      <c r="M27" s="2" t="s">
        <v>179</v>
      </c>
      <c r="N27" s="2" t="s">
        <v>180</v>
      </c>
    </row>
    <row r="28" spans="1:14" ht="18" customHeight="1" x14ac:dyDescent="0.3">
      <c r="A28" s="12" t="s">
        <v>181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40.049999999999997" customHeight="1" x14ac:dyDescent="0.3">
      <c r="A29" s="2" t="s">
        <v>182</v>
      </c>
      <c r="B29" s="2" t="s">
        <v>183</v>
      </c>
      <c r="C29" s="2" t="s">
        <v>184</v>
      </c>
      <c r="D29" s="2">
        <v>76.2</v>
      </c>
      <c r="E29" s="2" t="s">
        <v>185</v>
      </c>
      <c r="F29" s="2" t="s">
        <v>186</v>
      </c>
      <c r="G29" s="2" t="s">
        <v>77</v>
      </c>
      <c r="H29" s="2" t="s">
        <v>187</v>
      </c>
      <c r="I29" s="2" t="s">
        <v>169</v>
      </c>
      <c r="J29" s="2" t="s">
        <v>188</v>
      </c>
      <c r="K29" s="2" t="s">
        <v>25</v>
      </c>
      <c r="L29" s="2" t="s">
        <v>26</v>
      </c>
      <c r="M29" s="2" t="s">
        <v>189</v>
      </c>
      <c r="N29" s="2" t="s">
        <v>190</v>
      </c>
    </row>
    <row r="30" spans="1:14" ht="40.049999999999997" customHeight="1" x14ac:dyDescent="0.3">
      <c r="A30" s="3" t="s">
        <v>191</v>
      </c>
      <c r="B30" s="3" t="s">
        <v>192</v>
      </c>
      <c r="C30" s="3" t="s">
        <v>193</v>
      </c>
      <c r="D30" s="3">
        <v>207.5</v>
      </c>
      <c r="E30" s="3" t="s">
        <v>185</v>
      </c>
      <c r="F30" s="3" t="s">
        <v>194</v>
      </c>
      <c r="G30" s="3" t="s">
        <v>77</v>
      </c>
      <c r="H30" s="3" t="s">
        <v>195</v>
      </c>
      <c r="I30" s="3" t="s">
        <v>169</v>
      </c>
      <c r="J30" s="3" t="s">
        <v>188</v>
      </c>
      <c r="K30" s="3" t="s">
        <v>25</v>
      </c>
      <c r="L30" s="3" t="s">
        <v>26</v>
      </c>
      <c r="M30" s="3" t="s">
        <v>196</v>
      </c>
      <c r="N30" s="3" t="s">
        <v>197</v>
      </c>
    </row>
    <row r="31" spans="1:14" ht="40.049999999999997" customHeight="1" x14ac:dyDescent="0.3">
      <c r="A31" s="2" t="s">
        <v>198</v>
      </c>
      <c r="B31" s="2" t="s">
        <v>199</v>
      </c>
      <c r="C31" s="2" t="s">
        <v>200</v>
      </c>
      <c r="D31" s="2">
        <v>1</v>
      </c>
      <c r="E31" s="2" t="s">
        <v>59</v>
      </c>
      <c r="F31" s="2" t="s">
        <v>32</v>
      </c>
      <c r="G31" s="2" t="s">
        <v>99</v>
      </c>
      <c r="H31" s="2" t="s">
        <v>100</v>
      </c>
      <c r="I31" s="2" t="s">
        <v>23</v>
      </c>
      <c r="J31" s="2" t="s">
        <v>201</v>
      </c>
      <c r="K31" s="2" t="s">
        <v>53</v>
      </c>
      <c r="L31" s="2" t="s">
        <v>26</v>
      </c>
      <c r="M31" s="2" t="s">
        <v>202</v>
      </c>
      <c r="N31" s="2" t="s">
        <v>203</v>
      </c>
    </row>
    <row r="32" spans="1:14" ht="18" customHeight="1" x14ac:dyDescent="0.3">
      <c r="A32" s="12" t="s">
        <v>204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40.049999999999997" customHeight="1" x14ac:dyDescent="0.3">
      <c r="A33" s="2" t="s">
        <v>205</v>
      </c>
      <c r="B33" s="2" t="s">
        <v>206</v>
      </c>
      <c r="C33" s="2" t="s">
        <v>207</v>
      </c>
      <c r="D33" s="2">
        <v>0.14000000000000001</v>
      </c>
      <c r="E33" s="2" t="s">
        <v>208</v>
      </c>
      <c r="F33" s="2" t="s">
        <v>150</v>
      </c>
      <c r="G33" s="2" t="s">
        <v>77</v>
      </c>
      <c r="H33" s="2" t="s">
        <v>187</v>
      </c>
      <c r="I33" s="2" t="s">
        <v>169</v>
      </c>
      <c r="J33" s="2" t="s">
        <v>209</v>
      </c>
      <c r="K33" s="2" t="s">
        <v>25</v>
      </c>
      <c r="L33" s="2" t="s">
        <v>26</v>
      </c>
      <c r="M33" s="2" t="s">
        <v>210</v>
      </c>
      <c r="N33" s="2" t="s">
        <v>211</v>
      </c>
    </row>
    <row r="34" spans="1:14" ht="40.049999999999997" customHeight="1" x14ac:dyDescent="0.3">
      <c r="A34" s="3" t="s">
        <v>212</v>
      </c>
      <c r="B34" s="3" t="s">
        <v>213</v>
      </c>
      <c r="C34" s="3" t="s">
        <v>214</v>
      </c>
      <c r="D34" s="3">
        <v>1.41</v>
      </c>
      <c r="E34" s="3" t="s">
        <v>208</v>
      </c>
      <c r="F34" s="3" t="s">
        <v>215</v>
      </c>
      <c r="G34" s="3" t="s">
        <v>77</v>
      </c>
      <c r="H34" s="3" t="s">
        <v>195</v>
      </c>
      <c r="I34" s="3" t="s">
        <v>169</v>
      </c>
      <c r="J34" s="3" t="s">
        <v>209</v>
      </c>
      <c r="K34" s="3" t="s">
        <v>25</v>
      </c>
      <c r="L34" s="3" t="s">
        <v>26</v>
      </c>
      <c r="M34" s="3" t="s">
        <v>216</v>
      </c>
      <c r="N34" s="3" t="s">
        <v>217</v>
      </c>
    </row>
    <row r="35" spans="1:14" ht="40.049999999999997" customHeight="1" x14ac:dyDescent="0.3">
      <c r="A35" s="2" t="s">
        <v>218</v>
      </c>
      <c r="B35" s="2" t="s">
        <v>219</v>
      </c>
      <c r="C35" s="2" t="s">
        <v>220</v>
      </c>
      <c r="D35" s="2">
        <v>23.09</v>
      </c>
      <c r="E35" s="2" t="s">
        <v>221</v>
      </c>
      <c r="F35" s="2" t="s">
        <v>222</v>
      </c>
      <c r="G35" s="2" t="s">
        <v>33</v>
      </c>
      <c r="H35" s="2" t="s">
        <v>223</v>
      </c>
      <c r="I35" s="2" t="s">
        <v>23</v>
      </c>
      <c r="J35" s="2" t="s">
        <v>224</v>
      </c>
      <c r="K35" s="2" t="s">
        <v>153</v>
      </c>
      <c r="L35" s="2" t="s">
        <v>26</v>
      </c>
      <c r="M35" s="2" t="s">
        <v>225</v>
      </c>
      <c r="N35" s="2" t="s">
        <v>226</v>
      </c>
    </row>
    <row r="36" spans="1:14" ht="40.049999999999997" customHeight="1" x14ac:dyDescent="0.3">
      <c r="A36" s="3" t="s">
        <v>227</v>
      </c>
      <c r="B36" s="3" t="s">
        <v>228</v>
      </c>
      <c r="C36" s="3" t="s">
        <v>229</v>
      </c>
      <c r="D36" s="3">
        <v>31.99</v>
      </c>
      <c r="E36" s="3" t="s">
        <v>221</v>
      </c>
      <c r="F36" s="3" t="s">
        <v>230</v>
      </c>
      <c r="G36" s="3" t="s">
        <v>160</v>
      </c>
      <c r="H36" s="3" t="s">
        <v>161</v>
      </c>
      <c r="I36" s="3" t="s">
        <v>23</v>
      </c>
      <c r="J36" s="3" t="s">
        <v>224</v>
      </c>
      <c r="K36" s="3" t="s">
        <v>153</v>
      </c>
      <c r="L36" s="3" t="s">
        <v>26</v>
      </c>
      <c r="M36" s="3" t="s">
        <v>231</v>
      </c>
      <c r="N36" s="3" t="s">
        <v>232</v>
      </c>
    </row>
    <row r="37" spans="1:14" ht="18" customHeight="1" x14ac:dyDescent="0.3">
      <c r="A37" s="12" t="s">
        <v>233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ht="40.049999999999997" customHeight="1" x14ac:dyDescent="0.3">
      <c r="A38" s="2" t="s">
        <v>234</v>
      </c>
      <c r="B38" s="2" t="s">
        <v>235</v>
      </c>
      <c r="C38" s="2" t="s">
        <v>236</v>
      </c>
      <c r="D38" s="2">
        <v>1.45</v>
      </c>
      <c r="E38" s="2" t="s">
        <v>237</v>
      </c>
      <c r="F38" s="2" t="s">
        <v>238</v>
      </c>
      <c r="G38" s="2" t="s">
        <v>77</v>
      </c>
      <c r="H38" s="2" t="s">
        <v>187</v>
      </c>
      <c r="I38" s="2" t="s">
        <v>169</v>
      </c>
      <c r="J38" s="2" t="s">
        <v>239</v>
      </c>
      <c r="K38" s="2" t="s">
        <v>25</v>
      </c>
      <c r="L38" s="2" t="s">
        <v>26</v>
      </c>
      <c r="M38" s="2" t="s">
        <v>240</v>
      </c>
      <c r="N38" s="2" t="s">
        <v>241</v>
      </c>
    </row>
    <row r="39" spans="1:14" ht="40.049999999999997" customHeight="1" x14ac:dyDescent="0.3">
      <c r="A39" s="3" t="s">
        <v>242</v>
      </c>
      <c r="B39" s="3" t="s">
        <v>243</v>
      </c>
      <c r="C39" s="3" t="s">
        <v>244</v>
      </c>
      <c r="D39" s="3">
        <v>2.87</v>
      </c>
      <c r="E39" s="3" t="s">
        <v>237</v>
      </c>
      <c r="F39" s="3" t="s">
        <v>245</v>
      </c>
      <c r="G39" s="3" t="s">
        <v>77</v>
      </c>
      <c r="H39" s="3" t="s">
        <v>195</v>
      </c>
      <c r="I39" s="3" t="s">
        <v>169</v>
      </c>
      <c r="J39" s="3" t="s">
        <v>239</v>
      </c>
      <c r="K39" s="3" t="s">
        <v>25</v>
      </c>
      <c r="L39" s="3" t="s">
        <v>26</v>
      </c>
      <c r="M39" s="3" t="s">
        <v>246</v>
      </c>
      <c r="N39" s="3" t="s">
        <v>247</v>
      </c>
    </row>
    <row r="40" spans="1:14" ht="40.049999999999997" customHeight="1" x14ac:dyDescent="0.3">
      <c r="A40" s="2" t="s">
        <v>248</v>
      </c>
      <c r="B40" s="2" t="s">
        <v>249</v>
      </c>
      <c r="C40" s="2" t="s">
        <v>250</v>
      </c>
      <c r="D40" s="2">
        <v>3.49</v>
      </c>
      <c r="E40" s="2" t="s">
        <v>251</v>
      </c>
      <c r="F40" s="2" t="s">
        <v>252</v>
      </c>
      <c r="G40" s="2" t="s">
        <v>33</v>
      </c>
      <c r="H40" s="2" t="s">
        <v>223</v>
      </c>
      <c r="I40" s="2" t="s">
        <v>23</v>
      </c>
      <c r="J40" s="2" t="s">
        <v>253</v>
      </c>
      <c r="K40" s="2" t="s">
        <v>153</v>
      </c>
      <c r="L40" s="2" t="s">
        <v>26</v>
      </c>
      <c r="M40" s="2" t="s">
        <v>254</v>
      </c>
      <c r="N40" s="2" t="s">
        <v>255</v>
      </c>
    </row>
    <row r="41" spans="1:14" ht="40.049999999999997" customHeight="1" x14ac:dyDescent="0.3">
      <c r="A41" s="3" t="s">
        <v>256</v>
      </c>
      <c r="B41" s="3" t="s">
        <v>257</v>
      </c>
      <c r="C41" s="3" t="s">
        <v>258</v>
      </c>
      <c r="D41" s="3">
        <v>4.55</v>
      </c>
      <c r="E41" s="3" t="s">
        <v>251</v>
      </c>
      <c r="F41" s="3" t="s">
        <v>259</v>
      </c>
      <c r="G41" s="3" t="s">
        <v>160</v>
      </c>
      <c r="H41" s="3" t="s">
        <v>260</v>
      </c>
      <c r="I41" s="3" t="s">
        <v>23</v>
      </c>
      <c r="J41" s="3" t="s">
        <v>253</v>
      </c>
      <c r="K41" s="3" t="s">
        <v>153</v>
      </c>
      <c r="L41" s="3" t="s">
        <v>26</v>
      </c>
      <c r="M41" s="3" t="s">
        <v>261</v>
      </c>
      <c r="N41" s="3" t="s">
        <v>262</v>
      </c>
    </row>
    <row r="42" spans="1:14" ht="40.049999999999997" customHeight="1" x14ac:dyDescent="0.3">
      <c r="A42" s="2" t="s">
        <v>263</v>
      </c>
      <c r="B42" s="2" t="s">
        <v>264</v>
      </c>
      <c r="C42" s="2" t="s">
        <v>265</v>
      </c>
      <c r="D42" s="2">
        <v>5.07</v>
      </c>
      <c r="E42" s="2" t="s">
        <v>251</v>
      </c>
      <c r="F42" s="2" t="s">
        <v>266</v>
      </c>
      <c r="G42" s="2" t="s">
        <v>99</v>
      </c>
      <c r="H42" s="2" t="s">
        <v>100</v>
      </c>
      <c r="I42" s="2" t="s">
        <v>23</v>
      </c>
      <c r="J42" s="2" t="s">
        <v>253</v>
      </c>
      <c r="K42" s="2" t="s">
        <v>153</v>
      </c>
      <c r="L42" s="2" t="s">
        <v>26</v>
      </c>
      <c r="M42" s="2" t="s">
        <v>267</v>
      </c>
      <c r="N42" s="2" t="s">
        <v>268</v>
      </c>
    </row>
    <row r="43" spans="1:14" ht="40.049999999999997" customHeight="1" x14ac:dyDescent="0.3">
      <c r="A43" s="3" t="s">
        <v>269</v>
      </c>
      <c r="B43" s="3" t="s">
        <v>270</v>
      </c>
      <c r="C43" s="3" t="s">
        <v>271</v>
      </c>
      <c r="D43" s="3">
        <v>4.5</v>
      </c>
      <c r="E43" s="3" t="s">
        <v>272</v>
      </c>
      <c r="F43" s="3" t="s">
        <v>32</v>
      </c>
      <c r="G43" s="3" t="s">
        <v>273</v>
      </c>
      <c r="H43" s="3" t="s">
        <v>274</v>
      </c>
      <c r="I43" s="3" t="s">
        <v>23</v>
      </c>
      <c r="J43" s="3" t="s">
        <v>253</v>
      </c>
      <c r="K43" s="3" t="s">
        <v>35</v>
      </c>
      <c r="L43" s="3" t="s">
        <v>26</v>
      </c>
      <c r="M43" s="3" t="s">
        <v>275</v>
      </c>
      <c r="N43" s="3" t="s">
        <v>276</v>
      </c>
    </row>
    <row r="44" spans="1:14" ht="40.049999999999997" customHeight="1" x14ac:dyDescent="0.3">
      <c r="A44" s="2" t="s">
        <v>277</v>
      </c>
      <c r="B44" s="2" t="s">
        <v>278</v>
      </c>
      <c r="C44" s="2" t="s">
        <v>279</v>
      </c>
      <c r="D44" s="2">
        <v>6.5</v>
      </c>
      <c r="E44" s="2" t="s">
        <v>272</v>
      </c>
      <c r="F44" s="2" t="s">
        <v>32</v>
      </c>
      <c r="G44" s="2" t="s">
        <v>280</v>
      </c>
      <c r="H44" s="2" t="s">
        <v>100</v>
      </c>
      <c r="I44" s="2" t="s">
        <v>23</v>
      </c>
      <c r="J44" s="2" t="s">
        <v>253</v>
      </c>
      <c r="K44" s="2" t="s">
        <v>35</v>
      </c>
      <c r="L44" s="2" t="s">
        <v>26</v>
      </c>
      <c r="M44" s="2" t="s">
        <v>281</v>
      </c>
      <c r="N44" s="2" t="s">
        <v>282</v>
      </c>
    </row>
    <row r="45" spans="1:14" ht="18" customHeight="1" x14ac:dyDescent="0.3">
      <c r="A45" s="12" t="s">
        <v>283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ht="40.049999999999997" customHeight="1" x14ac:dyDescent="0.3">
      <c r="A46" s="2" t="s">
        <v>284</v>
      </c>
      <c r="B46" s="2" t="s">
        <v>285</v>
      </c>
      <c r="C46" s="2" t="s">
        <v>286</v>
      </c>
      <c r="D46" s="2">
        <v>40</v>
      </c>
      <c r="E46" s="2" t="s">
        <v>287</v>
      </c>
      <c r="F46" s="2" t="s">
        <v>32</v>
      </c>
      <c r="G46" s="2" t="s">
        <v>33</v>
      </c>
      <c r="H46" s="2" t="s">
        <v>34</v>
      </c>
      <c r="I46" s="2" t="s">
        <v>23</v>
      </c>
      <c r="J46" s="2" t="s">
        <v>288</v>
      </c>
      <c r="K46" s="2" t="s">
        <v>35</v>
      </c>
      <c r="L46" s="2" t="s">
        <v>26</v>
      </c>
      <c r="M46" s="2" t="s">
        <v>289</v>
      </c>
      <c r="N46" s="2" t="s">
        <v>290</v>
      </c>
    </row>
    <row r="47" spans="1:14" ht="40.049999999999997" customHeight="1" x14ac:dyDescent="0.3">
      <c r="A47" s="3" t="s">
        <v>291</v>
      </c>
      <c r="B47" s="3" t="s">
        <v>292</v>
      </c>
      <c r="C47" s="3" t="s">
        <v>293</v>
      </c>
      <c r="D47" s="3">
        <v>75</v>
      </c>
      <c r="E47" s="3" t="s">
        <v>287</v>
      </c>
      <c r="F47" s="3" t="s">
        <v>32</v>
      </c>
      <c r="G47" s="3" t="s">
        <v>99</v>
      </c>
      <c r="H47" s="3" t="s">
        <v>100</v>
      </c>
      <c r="I47" s="3" t="s">
        <v>23</v>
      </c>
      <c r="J47" s="3" t="s">
        <v>288</v>
      </c>
      <c r="K47" s="3" t="s">
        <v>35</v>
      </c>
      <c r="L47" s="3" t="s">
        <v>26</v>
      </c>
      <c r="M47" s="3" t="s">
        <v>294</v>
      </c>
      <c r="N47" s="3" t="s">
        <v>295</v>
      </c>
    </row>
    <row r="48" spans="1:14" ht="40.049999999999997" customHeight="1" x14ac:dyDescent="0.3">
      <c r="A48" s="2" t="s">
        <v>296</v>
      </c>
      <c r="B48" s="2" t="s">
        <v>297</v>
      </c>
      <c r="C48" s="2" t="s">
        <v>298</v>
      </c>
      <c r="D48" s="2">
        <v>200</v>
      </c>
      <c r="E48" s="2" t="s">
        <v>299</v>
      </c>
      <c r="F48" s="2" t="s">
        <v>300</v>
      </c>
      <c r="G48" s="2" t="s">
        <v>33</v>
      </c>
      <c r="H48" s="2" t="s">
        <v>34</v>
      </c>
      <c r="I48" s="2" t="s">
        <v>52</v>
      </c>
      <c r="J48" s="2" t="s">
        <v>301</v>
      </c>
      <c r="K48" s="2" t="s">
        <v>101</v>
      </c>
      <c r="L48" s="2" t="s">
        <v>26</v>
      </c>
      <c r="M48" s="2" t="s">
        <v>302</v>
      </c>
      <c r="N48" s="2" t="s">
        <v>303</v>
      </c>
    </row>
    <row r="49" spans="1:14" ht="40.049999999999997" customHeight="1" x14ac:dyDescent="0.3">
      <c r="A49" s="3" t="s">
        <v>304</v>
      </c>
      <c r="B49" s="3" t="s">
        <v>305</v>
      </c>
      <c r="C49" s="3" t="s">
        <v>306</v>
      </c>
      <c r="D49" s="3">
        <v>0.5</v>
      </c>
      <c r="E49" s="3" t="s">
        <v>19</v>
      </c>
      <c r="F49" s="3" t="s">
        <v>41</v>
      </c>
      <c r="G49" s="3" t="s">
        <v>21</v>
      </c>
      <c r="H49" s="3" t="s">
        <v>42</v>
      </c>
      <c r="I49" s="3" t="s">
        <v>23</v>
      </c>
      <c r="J49" s="3" t="s">
        <v>307</v>
      </c>
      <c r="K49" s="3" t="s">
        <v>43</v>
      </c>
      <c r="L49" s="3" t="s">
        <v>26</v>
      </c>
      <c r="M49" s="3" t="s">
        <v>308</v>
      </c>
      <c r="N49" s="3" t="s">
        <v>309</v>
      </c>
    </row>
    <row r="50" spans="1:14" ht="18" customHeight="1" x14ac:dyDescent="0.3">
      <c r="A50" s="12" t="s">
        <v>310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1:14" ht="40.049999999999997" customHeight="1" x14ac:dyDescent="0.3">
      <c r="A51" s="2" t="s">
        <v>311</v>
      </c>
      <c r="B51" s="2" t="s">
        <v>312</v>
      </c>
      <c r="C51" s="2" t="s">
        <v>313</v>
      </c>
      <c r="D51" s="2">
        <v>0.93</v>
      </c>
      <c r="E51" s="2" t="s">
        <v>19</v>
      </c>
      <c r="F51" s="2" t="s">
        <v>32</v>
      </c>
      <c r="G51" s="2" t="s">
        <v>21</v>
      </c>
      <c r="H51" s="2" t="s">
        <v>195</v>
      </c>
      <c r="I51" s="2" t="s">
        <v>314</v>
      </c>
      <c r="J51" s="2" t="s">
        <v>24</v>
      </c>
      <c r="K51" s="2" t="s">
        <v>25</v>
      </c>
      <c r="L51" s="2" t="s">
        <v>26</v>
      </c>
      <c r="M51" s="2" t="s">
        <v>315</v>
      </c>
      <c r="N51" s="2" t="s">
        <v>316</v>
      </c>
    </row>
    <row r="52" spans="1:14" ht="40.049999999999997" customHeight="1" x14ac:dyDescent="0.3">
      <c r="A52" s="3" t="s">
        <v>317</v>
      </c>
      <c r="B52" s="3" t="s">
        <v>318</v>
      </c>
      <c r="C52" s="3" t="s">
        <v>319</v>
      </c>
      <c r="D52" s="3">
        <v>1.41</v>
      </c>
      <c r="E52" s="3" t="s">
        <v>320</v>
      </c>
      <c r="F52" s="3" t="s">
        <v>215</v>
      </c>
      <c r="G52" s="3" t="s">
        <v>77</v>
      </c>
      <c r="H52" s="3" t="s">
        <v>195</v>
      </c>
      <c r="I52" s="3" t="s">
        <v>169</v>
      </c>
      <c r="J52" s="3" t="s">
        <v>321</v>
      </c>
      <c r="K52" s="3" t="s">
        <v>25</v>
      </c>
      <c r="L52" s="3" t="s">
        <v>26</v>
      </c>
      <c r="M52" s="3" t="s">
        <v>322</v>
      </c>
      <c r="N52" s="3" t="s">
        <v>323</v>
      </c>
    </row>
    <row r="53" spans="1:14" ht="40.049999999999997" customHeight="1" x14ac:dyDescent="0.3">
      <c r="A53" s="2" t="s">
        <v>324</v>
      </c>
      <c r="B53" s="2" t="s">
        <v>325</v>
      </c>
      <c r="C53" s="2" t="s">
        <v>326</v>
      </c>
      <c r="D53" s="2">
        <v>2.87</v>
      </c>
      <c r="E53" s="2" t="s">
        <v>327</v>
      </c>
      <c r="F53" s="2" t="s">
        <v>245</v>
      </c>
      <c r="G53" s="2" t="s">
        <v>77</v>
      </c>
      <c r="H53" s="2" t="s">
        <v>195</v>
      </c>
      <c r="I53" s="2" t="s">
        <v>169</v>
      </c>
      <c r="J53" s="2" t="s">
        <v>328</v>
      </c>
      <c r="K53" s="2" t="s">
        <v>25</v>
      </c>
      <c r="L53" s="2" t="s">
        <v>26</v>
      </c>
      <c r="M53" s="2" t="s">
        <v>329</v>
      </c>
      <c r="N53" s="2" t="s">
        <v>330</v>
      </c>
    </row>
    <row r="54" spans="1:14" ht="40.049999999999997" customHeight="1" x14ac:dyDescent="0.3">
      <c r="A54" s="3" t="s">
        <v>331</v>
      </c>
      <c r="B54" s="3" t="s">
        <v>332</v>
      </c>
      <c r="C54" s="3" t="s">
        <v>333</v>
      </c>
      <c r="D54" s="3">
        <v>207.5</v>
      </c>
      <c r="E54" s="3" t="s">
        <v>185</v>
      </c>
      <c r="F54" s="3" t="s">
        <v>194</v>
      </c>
      <c r="G54" s="3" t="s">
        <v>77</v>
      </c>
      <c r="H54" s="3" t="s">
        <v>195</v>
      </c>
      <c r="I54" s="3" t="s">
        <v>169</v>
      </c>
      <c r="J54" s="3" t="s">
        <v>188</v>
      </c>
      <c r="K54" s="3" t="s">
        <v>25</v>
      </c>
      <c r="L54" s="3" t="s">
        <v>26</v>
      </c>
      <c r="M54" s="3" t="s">
        <v>334</v>
      </c>
      <c r="N54" s="3" t="s">
        <v>335</v>
      </c>
    </row>
    <row r="55" spans="1:14" ht="40.049999999999997" customHeight="1" x14ac:dyDescent="0.3">
      <c r="A55" s="2" t="s">
        <v>336</v>
      </c>
      <c r="B55" s="2" t="s">
        <v>337</v>
      </c>
      <c r="C55" s="2" t="s">
        <v>338</v>
      </c>
      <c r="D55" s="2">
        <v>1</v>
      </c>
      <c r="E55" s="2" t="s">
        <v>339</v>
      </c>
      <c r="F55" s="2" t="s">
        <v>32</v>
      </c>
      <c r="G55" s="2" t="s">
        <v>77</v>
      </c>
      <c r="H55" s="2" t="s">
        <v>195</v>
      </c>
      <c r="I55" s="2" t="s">
        <v>340</v>
      </c>
      <c r="J55" s="2" t="s">
        <v>341</v>
      </c>
      <c r="K55" s="2" t="s">
        <v>25</v>
      </c>
      <c r="L55" s="2" t="s">
        <v>26</v>
      </c>
      <c r="M55" s="2" t="s">
        <v>342</v>
      </c>
      <c r="N55" s="2" t="s">
        <v>343</v>
      </c>
    </row>
    <row r="56" spans="1:14" ht="18" customHeight="1" x14ac:dyDescent="0.3">
      <c r="A56" s="12" t="s">
        <v>344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40.049999999999997" customHeight="1" x14ac:dyDescent="0.3">
      <c r="A57" s="5" t="s">
        <v>345</v>
      </c>
      <c r="B57" s="5" t="s">
        <v>346</v>
      </c>
      <c r="C57" s="5" t="s">
        <v>347</v>
      </c>
      <c r="D57" s="5"/>
      <c r="E57" s="5" t="s">
        <v>348</v>
      </c>
      <c r="F57" s="5" t="s">
        <v>32</v>
      </c>
      <c r="G57" s="5" t="s">
        <v>77</v>
      </c>
      <c r="H57" s="5" t="s">
        <v>100</v>
      </c>
      <c r="I57" s="5" t="s">
        <v>349</v>
      </c>
      <c r="J57" s="5" t="s">
        <v>350</v>
      </c>
      <c r="K57" s="5" t="s">
        <v>351</v>
      </c>
      <c r="L57" s="5" t="s">
        <v>352</v>
      </c>
      <c r="M57" s="5" t="s">
        <v>353</v>
      </c>
      <c r="N57" s="5" t="s">
        <v>354</v>
      </c>
    </row>
    <row r="58" spans="1:14" ht="40.049999999999997" customHeight="1" x14ac:dyDescent="0.3">
      <c r="A58" s="5" t="s">
        <v>355</v>
      </c>
      <c r="B58" s="5" t="s">
        <v>356</v>
      </c>
      <c r="C58" s="5" t="s">
        <v>357</v>
      </c>
      <c r="D58" s="5"/>
      <c r="E58" s="5" t="s">
        <v>358</v>
      </c>
      <c r="F58" s="5" t="s">
        <v>32</v>
      </c>
      <c r="G58" s="5" t="s">
        <v>77</v>
      </c>
      <c r="H58" s="5" t="s">
        <v>349</v>
      </c>
      <c r="I58" s="5" t="s">
        <v>349</v>
      </c>
      <c r="J58" s="5" t="s">
        <v>359</v>
      </c>
      <c r="K58" s="5" t="s">
        <v>351</v>
      </c>
      <c r="L58" s="5" t="s">
        <v>352</v>
      </c>
      <c r="M58" s="5" t="s">
        <v>360</v>
      </c>
      <c r="N58" s="5" t="s">
        <v>361</v>
      </c>
    </row>
    <row r="59" spans="1:14" ht="40.049999999999997" customHeight="1" x14ac:dyDescent="0.3">
      <c r="A59" s="5" t="s">
        <v>362</v>
      </c>
      <c r="B59" s="5" t="s">
        <v>363</v>
      </c>
      <c r="C59" s="5" t="s">
        <v>364</v>
      </c>
      <c r="D59" s="5"/>
      <c r="E59" s="5" t="s">
        <v>365</v>
      </c>
      <c r="F59" s="5" t="s">
        <v>32</v>
      </c>
      <c r="G59" s="5" t="s">
        <v>77</v>
      </c>
      <c r="H59" s="5" t="s">
        <v>366</v>
      </c>
      <c r="I59" s="5" t="s">
        <v>340</v>
      </c>
      <c r="J59" s="5" t="s">
        <v>24</v>
      </c>
      <c r="K59" s="5" t="s">
        <v>351</v>
      </c>
      <c r="L59" s="5" t="s">
        <v>352</v>
      </c>
      <c r="M59" s="5" t="s">
        <v>367</v>
      </c>
      <c r="N59" s="5" t="s">
        <v>368</v>
      </c>
    </row>
  </sheetData>
  <mergeCells count="12">
    <mergeCell ref="A2:N2"/>
    <mergeCell ref="A28:N28"/>
    <mergeCell ref="A37:N37"/>
    <mergeCell ref="A32:N32"/>
    <mergeCell ref="A1:N1"/>
    <mergeCell ref="A56:N56"/>
    <mergeCell ref="A22:N22"/>
    <mergeCell ref="A12:N12"/>
    <mergeCell ref="A4:N4"/>
    <mergeCell ref="A45:N45"/>
    <mergeCell ref="A50:N50"/>
    <mergeCell ref="A16:N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4.4" x14ac:dyDescent="0.3"/>
  <cols>
    <col min="1" max="1" width="30" customWidth="1"/>
    <col min="2" max="2" width="60" customWidth="1"/>
    <col min="3" max="3" width="20" customWidth="1"/>
  </cols>
  <sheetData>
    <row r="1" spans="1:3" x14ac:dyDescent="0.3">
      <c r="A1" s="6" t="s">
        <v>369</v>
      </c>
      <c r="B1" s="7"/>
      <c r="C1" s="8"/>
    </row>
    <row r="2" spans="1:3" x14ac:dyDescent="0.3">
      <c r="A2" s="9"/>
      <c r="B2" s="7"/>
      <c r="C2" s="8"/>
    </row>
    <row r="3" spans="1:3" x14ac:dyDescent="0.3">
      <c r="A3" s="6" t="s">
        <v>370</v>
      </c>
      <c r="B3" s="7"/>
      <c r="C3" s="8"/>
    </row>
    <row r="4" spans="1:3" x14ac:dyDescent="0.3">
      <c r="A4" s="9"/>
      <c r="B4" s="7"/>
      <c r="C4" s="8"/>
    </row>
    <row r="5" spans="1:3" x14ac:dyDescent="0.3">
      <c r="A5" s="9" t="s">
        <v>371</v>
      </c>
      <c r="B5" s="7" t="s">
        <v>372</v>
      </c>
      <c r="C5" s="8"/>
    </row>
    <row r="6" spans="1:3" x14ac:dyDescent="0.3">
      <c r="A6" s="9" t="s">
        <v>373</v>
      </c>
      <c r="B6" s="7" t="s">
        <v>374</v>
      </c>
      <c r="C6" s="8"/>
    </row>
    <row r="7" spans="1:3" x14ac:dyDescent="0.3">
      <c r="A7" s="9" t="s">
        <v>375</v>
      </c>
      <c r="B7" s="7" t="s">
        <v>376</v>
      </c>
      <c r="C7" s="8"/>
    </row>
    <row r="8" spans="1:3" x14ac:dyDescent="0.3">
      <c r="A8" s="9"/>
      <c r="B8" s="7" t="s">
        <v>377</v>
      </c>
      <c r="C8" s="8"/>
    </row>
    <row r="9" spans="1:3" x14ac:dyDescent="0.3">
      <c r="A9" s="9"/>
      <c r="B9" s="7" t="s">
        <v>378</v>
      </c>
      <c r="C9" s="8"/>
    </row>
    <row r="10" spans="1:3" x14ac:dyDescent="0.3">
      <c r="A10" s="9"/>
      <c r="B10" s="7" t="s">
        <v>379</v>
      </c>
      <c r="C10" s="8"/>
    </row>
    <row r="11" spans="1:3" x14ac:dyDescent="0.3">
      <c r="A11" s="9"/>
      <c r="B11" s="7" t="s">
        <v>380</v>
      </c>
      <c r="C11" s="8"/>
    </row>
    <row r="12" spans="1:3" x14ac:dyDescent="0.3">
      <c r="A12" s="9"/>
      <c r="B12" s="7" t="s">
        <v>381</v>
      </c>
      <c r="C12" s="8"/>
    </row>
    <row r="13" spans="1:3" x14ac:dyDescent="0.3">
      <c r="A13" s="9" t="s">
        <v>382</v>
      </c>
      <c r="B13" s="7"/>
      <c r="C13" s="8"/>
    </row>
    <row r="14" spans="1:3" x14ac:dyDescent="0.3">
      <c r="A14" s="9"/>
      <c r="B14" s="7" t="s">
        <v>383</v>
      </c>
      <c r="C14" s="8"/>
    </row>
    <row r="15" spans="1:3" x14ac:dyDescent="0.3">
      <c r="A15" s="9"/>
      <c r="B15" s="7" t="s">
        <v>384</v>
      </c>
      <c r="C15" s="8"/>
    </row>
    <row r="16" spans="1:3" x14ac:dyDescent="0.3">
      <c r="A16" s="9"/>
      <c r="B16" s="7" t="s">
        <v>385</v>
      </c>
      <c r="C16" s="8"/>
    </row>
    <row r="17" spans="1:3" x14ac:dyDescent="0.3">
      <c r="A17" s="9"/>
      <c r="B17" s="7" t="s">
        <v>386</v>
      </c>
      <c r="C17" s="8"/>
    </row>
    <row r="18" spans="1:3" x14ac:dyDescent="0.3">
      <c r="A18" s="9" t="s">
        <v>387</v>
      </c>
      <c r="B18" s="7"/>
      <c r="C18" s="8"/>
    </row>
    <row r="19" spans="1:3" x14ac:dyDescent="0.3">
      <c r="A19" s="9"/>
      <c r="B19" s="7" t="s">
        <v>388</v>
      </c>
      <c r="C19" s="8"/>
    </row>
    <row r="20" spans="1:3" x14ac:dyDescent="0.3">
      <c r="A20" s="9"/>
      <c r="B20" s="7" t="s">
        <v>389</v>
      </c>
      <c r="C20" s="8"/>
    </row>
    <row r="21" spans="1:3" x14ac:dyDescent="0.3">
      <c r="A21" s="9"/>
      <c r="B21" s="7" t="s">
        <v>390</v>
      </c>
      <c r="C21" s="8"/>
    </row>
    <row r="22" spans="1:3" x14ac:dyDescent="0.3">
      <c r="A22" s="9" t="s">
        <v>391</v>
      </c>
      <c r="B22" s="7"/>
      <c r="C22" s="8"/>
    </row>
    <row r="23" spans="1:3" x14ac:dyDescent="0.3">
      <c r="A23" s="9"/>
      <c r="B23" s="7" t="s">
        <v>392</v>
      </c>
      <c r="C23" s="8"/>
    </row>
    <row r="24" spans="1:3" x14ac:dyDescent="0.3">
      <c r="A24" s="9"/>
      <c r="B24" s="7" t="s">
        <v>393</v>
      </c>
      <c r="C24" s="8"/>
    </row>
    <row r="25" spans="1:3" x14ac:dyDescent="0.3">
      <c r="A25" s="9"/>
      <c r="B25" s="7" t="s">
        <v>394</v>
      </c>
      <c r="C25" s="8"/>
    </row>
    <row r="26" spans="1:3" x14ac:dyDescent="0.3">
      <c r="A26" s="6"/>
      <c r="B26" s="7"/>
      <c r="C26" s="8"/>
    </row>
    <row r="27" spans="1:3" x14ac:dyDescent="0.3">
      <c r="A27" s="9" t="s">
        <v>395</v>
      </c>
      <c r="B27" s="7"/>
      <c r="C27" s="8"/>
    </row>
    <row r="28" spans="1:3" x14ac:dyDescent="0.3">
      <c r="A28" s="9" t="s">
        <v>396</v>
      </c>
      <c r="B28" s="7" t="s">
        <v>397</v>
      </c>
      <c r="C28" s="8" t="s">
        <v>398</v>
      </c>
    </row>
    <row r="29" spans="1:3" x14ac:dyDescent="0.3">
      <c r="A29" s="9" t="s">
        <v>399</v>
      </c>
      <c r="B29" s="7" t="s">
        <v>400</v>
      </c>
      <c r="C29" s="8" t="s">
        <v>401</v>
      </c>
    </row>
    <row r="30" spans="1:3" x14ac:dyDescent="0.3">
      <c r="A30" s="9" t="s">
        <v>402</v>
      </c>
      <c r="B30" s="7" t="s">
        <v>403</v>
      </c>
      <c r="C30" s="8" t="s">
        <v>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30" customWidth="1"/>
    <col min="2" max="2" width="15" customWidth="1"/>
  </cols>
  <sheetData>
    <row r="1" spans="1:2" x14ac:dyDescent="0.3">
      <c r="A1" s="10" t="s">
        <v>405</v>
      </c>
      <c r="B1" s="10" t="s">
        <v>406</v>
      </c>
    </row>
    <row r="2" spans="1:2" x14ac:dyDescent="0.3">
      <c r="A2" s="11" t="s">
        <v>26</v>
      </c>
      <c r="B2" s="11">
        <f>COUNTIF(Layer1_Parameters!L:L,"HIGH")</f>
        <v>42</v>
      </c>
    </row>
    <row r="3" spans="1:2" x14ac:dyDescent="0.3">
      <c r="A3" s="11" t="s">
        <v>92</v>
      </c>
      <c r="B3" s="11">
        <f>COUNTIF(Layer1_Parameters!L:L,"ESTIMATED")</f>
        <v>1</v>
      </c>
    </row>
    <row r="4" spans="1:2" x14ac:dyDescent="0.3">
      <c r="A4" s="11" t="s">
        <v>407</v>
      </c>
      <c r="B4" s="11">
        <f>COUNTIF(Layer1_Parameters!L:L,"LOW")</f>
        <v>3</v>
      </c>
    </row>
    <row r="5" spans="1:2" x14ac:dyDescent="0.3">
      <c r="A5" s="11" t="s">
        <v>408</v>
      </c>
      <c r="B5" s="11">
        <f>COUNTA(Layer1_Parameters!A:A)-COUNTIF(Layer1_Parameters!A:A,"GRP")-COUNTIF(Layer1_Parameters!A:A,"")-1</f>
        <v>-1048459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Layer1_Parameters</vt:lpstr>
      <vt:lpstr>MATLAB_Import_Guide</vt:lpstr>
      <vt:lpstr>Confidence_Summary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Hamed Gilzad Kohan</cp:lastModifiedBy>
  <dcterms:created xsi:type="dcterms:W3CDTF">2026-03-09T19:18:31Z</dcterms:created>
  <dcterms:modified xsi:type="dcterms:W3CDTF">2026-03-11T15:13:23Z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4f9dd6-a4b8-4763-a61d-db8d0cf51108_Enabled">
    <vt:lpwstr>true</vt:lpwstr>
  </property>
  <property fmtid="{D5CDD505-2E9C-101B-9397-08002B2CF9AE}" pid="3" name="MSIP_Label_cc4f9dd6-a4b8-4763-a61d-db8d0cf51108_SetDate">
    <vt:lpwstr>2026-03-11T15:13:23Z</vt:lpwstr>
  </property>
  <property fmtid="{D5CDD505-2E9C-101B-9397-08002B2CF9AE}" pid="4" name="MSIP_Label_cc4f9dd6-a4b8-4763-a61d-db8d0cf51108_Method">
    <vt:lpwstr>Standard</vt:lpwstr>
  </property>
  <property fmtid="{D5CDD505-2E9C-101B-9397-08002B2CF9AE}" pid="5" name="MSIP_Label_cc4f9dd6-a4b8-4763-a61d-db8d0cf51108_Name">
    <vt:lpwstr>defa4170-0d19-0005-0004-bc88714345d2</vt:lpwstr>
  </property>
  <property fmtid="{D5CDD505-2E9C-101B-9397-08002B2CF9AE}" pid="6" name="MSIP_Label_cc4f9dd6-a4b8-4763-a61d-db8d0cf51108_SiteId">
    <vt:lpwstr>b5a5796f-19a9-493f-9cb2-7a88b4e9b123</vt:lpwstr>
  </property>
  <property fmtid="{D5CDD505-2E9C-101B-9397-08002B2CF9AE}" pid="7" name="MSIP_Label_cc4f9dd6-a4b8-4763-a61d-db8d0cf51108_ActionId">
    <vt:lpwstr>4faace44-d838-42c0-8eeb-5aa4b70e7231</vt:lpwstr>
  </property>
  <property fmtid="{D5CDD505-2E9C-101B-9397-08002B2CF9AE}" pid="8" name="MSIP_Label_cc4f9dd6-a4b8-4763-a61d-db8d0cf51108_ContentBits">
    <vt:lpwstr>0</vt:lpwstr>
  </property>
  <property fmtid="{D5CDD505-2E9C-101B-9397-08002B2CF9AE}" pid="9" name="MSIP_Label_cc4f9dd6-a4b8-4763-a61d-db8d0cf51108_Tag">
    <vt:lpwstr>10, 3, 0, 1</vt:lpwstr>
  </property>
</Properties>
</file>